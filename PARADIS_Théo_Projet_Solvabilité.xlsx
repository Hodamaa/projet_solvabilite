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0" documentId="8_{CB2774E7-DEC0-499C-BBBB-6F3DF70DDE04}" xr6:coauthVersionLast="47" xr6:coauthVersionMax="47" xr10:uidLastSave="{00000000-0000-0000-0000-000000000000}"/>
  <bookViews>
    <workbookView xWindow="240" yWindow="105" windowWidth="14805" windowHeight="8010" firstSheet="4" activeTab="5" xr2:uid="{00000000-000D-0000-FFFF-FFFF00000000}"/>
  </bookViews>
  <sheets>
    <sheet name="1_Bilan_source" sheetId="1" r:id="rId1"/>
    <sheet name="2_Mapping" sheetId="2" r:id="rId2"/>
    <sheet name="3_RWA_Calculs" sheetId="3" r:id="rId3"/>
    <sheet name="4_Ratio_CET1" sheetId="4" r:id="rId4"/>
    <sheet name="5_Stress_Test" sheetId="5" r:id="rId5"/>
    <sheet name="6_Waterfalll" sheetId="6" r:id="rId6"/>
    <sheet name="7_Control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B9" i="6"/>
  <c r="C2" i="6"/>
  <c r="B3" i="6"/>
  <c r="B6" i="6"/>
  <c r="C8" i="5"/>
  <c r="C10" i="5"/>
  <c r="B2" i="6"/>
  <c r="B6" i="4"/>
  <c r="E6" i="7"/>
  <c r="E4" i="7"/>
  <c r="E3" i="7"/>
  <c r="E2" i="7"/>
  <c r="C9" i="5"/>
  <c r="B7" i="1"/>
  <c r="B2" i="7" s="1"/>
  <c r="D2" i="7" s="1"/>
  <c r="B3" i="4"/>
  <c r="B3" i="7" s="1"/>
  <c r="B2" i="4"/>
  <c r="B4" i="4"/>
  <c r="B9" i="3"/>
  <c r="D9" i="3" s="1"/>
  <c r="C3" i="3"/>
  <c r="C4" i="3"/>
  <c r="C2" i="3"/>
  <c r="B3" i="2"/>
  <c r="B3" i="3" s="1"/>
  <c r="D3" i="3" s="1"/>
  <c r="B4" i="2"/>
  <c r="B4" i="3" s="1"/>
  <c r="D4" i="3" s="1"/>
  <c r="B5" i="2"/>
  <c r="B5" i="3" s="1"/>
  <c r="D5" i="3" s="1"/>
  <c r="B6" i="2"/>
  <c r="B2" i="2"/>
  <c r="B2" i="3" s="1"/>
  <c r="D2" i="3" s="1"/>
  <c r="B5" i="6" l="1"/>
  <c r="B4" i="6"/>
  <c r="B8" i="6"/>
  <c r="B7" i="6"/>
  <c r="B6" i="7"/>
  <c r="D6" i="7" s="1"/>
  <c r="D3" i="7"/>
  <c r="C4" i="5"/>
  <c r="D6" i="3"/>
  <c r="D11" i="3" s="1"/>
  <c r="B5" i="4" s="1"/>
  <c r="B4" i="7" l="1"/>
  <c r="B5" i="7"/>
  <c r="C5" i="7" l="1"/>
  <c r="D5" i="7"/>
  <c r="E5" i="7" s="1"/>
  <c r="D4" i="7"/>
</calcChain>
</file>

<file path=xl/sharedStrings.xml><?xml version="1.0" encoding="utf-8"?>
<sst xmlns="http://schemas.openxmlformats.org/spreadsheetml/2006/main" count="145" uniqueCount="129">
  <si>
    <t>Compte</t>
  </si>
  <si>
    <t>Montant_MEUR</t>
  </si>
  <si>
    <t>Type_Info</t>
  </si>
  <si>
    <t>Commentaire</t>
  </si>
  <si>
    <t>Credits Grandes Entreprises</t>
  </si>
  <si>
    <t>Actif</t>
  </si>
  <si>
    <t>les 55% du bilan</t>
  </si>
  <si>
    <t>Credits PME Retail</t>
  </si>
  <si>
    <t>Les petits pros</t>
  </si>
  <si>
    <t>Credits Immobiliers</t>
  </si>
  <si>
    <t>Hypothèques</t>
  </si>
  <si>
    <t>Titres Souverains</t>
  </si>
  <si>
    <t>Bons du trésor</t>
  </si>
  <si>
    <t>Tresorerie Cash</t>
  </si>
  <si>
    <t>Cash BCE</t>
  </si>
  <si>
    <t>TOTAL ACTIF COMPTABLE</t>
  </si>
  <si>
    <t>Capitaux Propres</t>
  </si>
  <si>
    <t>Passif</t>
  </si>
  <si>
    <t>Ton Capital</t>
  </si>
  <si>
    <t>Goodwill</t>
  </si>
  <si>
    <t>Deduction</t>
  </si>
  <si>
    <t>À déduire</t>
  </si>
  <si>
    <t>PNB Moyen 3ans</t>
  </si>
  <si>
    <t>Compte de résultat</t>
  </si>
  <si>
    <t>Pour le Risque Op.</t>
  </si>
  <si>
    <t>Provisions Actuelles</t>
  </si>
  <si>
    <t>Risque</t>
  </si>
  <si>
    <t>Stock actuel</t>
  </si>
  <si>
    <t>Ligne_Bilan</t>
  </si>
  <si>
    <t>Exposition_MEUR</t>
  </si>
  <si>
    <t>Classe_Actif_CRR</t>
  </si>
  <si>
    <t>RW_Standard</t>
  </si>
  <si>
    <t>Corporate</t>
  </si>
  <si>
    <t>Non noté (Art 122)</t>
  </si>
  <si>
    <t>Retail SME</t>
  </si>
  <si>
    <t>Granularité (Art 123)</t>
  </si>
  <si>
    <t>Secured Mortgage</t>
  </si>
  <si>
    <t>Garanti (Art 125)</t>
  </si>
  <si>
    <t>Sovereign</t>
  </si>
  <si>
    <t>État UE (Art 114)</t>
  </si>
  <si>
    <t>Central Bank</t>
  </si>
  <si>
    <t>Sans risque</t>
  </si>
  <si>
    <t>Classe_Exposition</t>
  </si>
  <si>
    <t>EAD_MEUR</t>
  </si>
  <si>
    <t>Ponderation_Risque</t>
  </si>
  <si>
    <t>RWA_MEUR</t>
  </si>
  <si>
    <t>Corporate GE</t>
  </si>
  <si>
    <t>Grandes entreprises</t>
  </si>
  <si>
    <t>PME Retail</t>
  </si>
  <si>
    <t>PME éligibles retail</t>
  </si>
  <si>
    <t>Immobilier Retail</t>
  </si>
  <si>
    <t>Prêts immobiliers</t>
  </si>
  <si>
    <t>Souverain Cash</t>
  </si>
  <si>
    <t>Etats &amp; cash (Regroupés)</t>
  </si>
  <si>
    <t>TOTAL_RWA CREDIT</t>
  </si>
  <si>
    <t>Sous-total Crédit</t>
  </si>
  <si>
    <t>RISQUE OPERATIONNEL</t>
  </si>
  <si>
    <t>Base Calcul</t>
  </si>
  <si>
    <t>Facteur BIA</t>
  </si>
  <si>
    <t>RWA Op</t>
  </si>
  <si>
    <t>Indispensable pour Onglet 4</t>
  </si>
  <si>
    <t>Op Risk BIA</t>
  </si>
  <si>
    <t>Méthode BIA</t>
  </si>
  <si>
    <t>TOTAL RWA GLOBAL</t>
  </si>
  <si>
    <t>Total pour Ratio</t>
  </si>
  <si>
    <t>Element</t>
  </si>
  <si>
    <t>Capitaux Propres Comptables</t>
  </si>
  <si>
    <t>Capital + réserves</t>
  </si>
  <si>
    <t>(-)_Goodwill</t>
  </si>
  <si>
    <t>Déduction prudentielle CRR</t>
  </si>
  <si>
    <t>CET1 Prudentiel</t>
  </si>
  <si>
    <t>Numérateur CET1</t>
  </si>
  <si>
    <t>TOTAL RWA</t>
  </si>
  <si>
    <t>Dénominateur (Crédit + Op)</t>
  </si>
  <si>
    <t>Ratio CET1</t>
  </si>
  <si>
    <t>A formater en %</t>
  </si>
  <si>
    <t>Categorie</t>
  </si>
  <si>
    <t>Choc</t>
  </si>
  <si>
    <t>Impact_MEUR</t>
  </si>
  <si>
    <t>CET1</t>
  </si>
  <si>
    <t>Hausse Cout du Risque</t>
  </si>
  <si>
    <t>Dégradation macro sévère</t>
  </si>
  <si>
    <t>Dotations Supplementaires</t>
  </si>
  <si>
    <t>Stress portefeuille crédit</t>
  </si>
  <si>
    <t>RWA</t>
  </si>
  <si>
    <t>Inflation RWA Corporate</t>
  </si>
  <si>
    <t>Proxy RW 125% (+25pts)</t>
  </si>
  <si>
    <t>Stress Climatique</t>
  </si>
  <si>
    <t>Penalité "Actifs bruns"</t>
  </si>
  <si>
    <t>RESULTATS STRESS</t>
  </si>
  <si>
    <t>FORMULE</t>
  </si>
  <si>
    <t>MONTANT</t>
  </si>
  <si>
    <t>VERDICT</t>
  </si>
  <si>
    <t>CET1 Post Stress</t>
  </si>
  <si>
    <t>Ratio_CET1 +Hausse Cout du Risque  + Dotations Supplementaires</t>
  </si>
  <si>
    <t>Capital qui reste (Numérateur)</t>
  </si>
  <si>
    <t>RWA Post Stress</t>
  </si>
  <si>
    <t>TOTAL RWA+Inflation RWA Corporate + Stress Climatique</t>
  </si>
  <si>
    <t>Risque qui gonfle (Dénominateur)</t>
  </si>
  <si>
    <t>Ratio CET1 Stress</t>
  </si>
  <si>
    <t>Doit être &lt; Ratio Initial</t>
  </si>
  <si>
    <t>Facteur</t>
  </si>
  <si>
    <t>Impact</t>
  </si>
  <si>
    <t xml:space="preserve">Pourcentage </t>
  </si>
  <si>
    <t>Commentaire / Calcul</t>
  </si>
  <si>
    <t>Ratio CET1 Initial (T0)</t>
  </si>
  <si>
    <t>Base : 80 M€ / 767,5 M€</t>
  </si>
  <si>
    <t>Effet Baisse Fonds Propres</t>
  </si>
  <si>
    <t>Impact massif car numérateur</t>
  </si>
  <si>
    <t>dont Coût du Risque (-25 M€)</t>
  </si>
  <si>
    <t>dont Dotations (-10 M€)</t>
  </si>
  <si>
    <t>Effet Hausse des RWA</t>
  </si>
  <si>
    <t>Impact dilutif sur le capital restant</t>
  </si>
  <si>
    <t>dont RWA Corporate (+137,5 M€)</t>
  </si>
  <si>
    <t>dont Stress Climatique (+30 M€)</t>
  </si>
  <si>
    <t>Ratio CET1 Final (Stress)</t>
  </si>
  <si>
    <t>Base : 45 M€ / 935 M€</t>
  </si>
  <si>
    <t>Controle_Effectue</t>
  </si>
  <si>
    <t>Valeur_Calculée</t>
  </si>
  <si>
    <t>Seuil_Attendu</t>
  </si>
  <si>
    <t>Ecart_Constaté</t>
  </si>
  <si>
    <t>Statut</t>
  </si>
  <si>
    <t>Intégrité Bilan</t>
  </si>
  <si>
    <t>Déduction Goodwill</t>
  </si>
  <si>
    <t>&lt;0</t>
  </si>
  <si>
    <t>Densité Risque (RWA%)</t>
  </si>
  <si>
    <t xml:space="preserve">&lt;85% </t>
  </si>
  <si>
    <t>Cohérence Stress</t>
  </si>
  <si>
    <t>Vérif Capital (CET1)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</si>
</sst>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i/>
      <sz val="11"/>
      <color rgb="FF1F1F1F"/>
      <name val="Google Sans Text"/>
      <family val="2"/>
      <charset val="1"/>
    </font>
    <font>
      <b/>
      <sz val="11"/>
      <color theme="0"/>
      <name val="Google Sans Text"/>
      <family val="2"/>
      <charset val="1"/>
    </font>
    <font>
      <sz val="11"/>
      <color theme="0"/>
      <name val="Google Sans Text"/>
      <family val="2"/>
      <charset val="1"/>
    </font>
    <font>
      <sz val="11"/>
      <color rgb="FF000000"/>
      <name val="Google Sans Text"/>
      <family val="2"/>
      <charset val="1"/>
    </font>
    <font>
      <sz val="11"/>
      <color rgb="FF1F1F1F"/>
      <name val="Google Sans Text"/>
      <charset val="1"/>
    </font>
    <font>
      <sz val="11"/>
      <color rgb="FF1F1F1F"/>
      <name val="Google Sans Text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000000"/>
      </bottom>
      <diagonal/>
    </border>
    <border>
      <left/>
      <right style="thin">
        <color rgb="FF1F1F1F"/>
      </right>
      <top style="thin">
        <color rgb="FF1F1F1F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quotePrefix="1" applyFont="1" applyBorder="1" applyAlignment="1">
      <alignment readingOrder="1"/>
    </xf>
    <xf numFmtId="0" fontId="2" fillId="0" borderId="1" xfId="0" quotePrefix="1" applyFont="1" applyBorder="1" applyAlignment="1">
      <alignment readingOrder="1"/>
    </xf>
    <xf numFmtId="9" fontId="2" fillId="0" borderId="1" xfId="0" applyNumberFormat="1" applyFont="1" applyBorder="1" applyAlignment="1">
      <alignment readingOrder="1"/>
    </xf>
    <xf numFmtId="10" fontId="2" fillId="0" borderId="1" xfId="0" applyNumberFormat="1" applyFont="1" applyBorder="1" applyAlignment="1">
      <alignment readingOrder="1"/>
    </xf>
    <xf numFmtId="9" fontId="2" fillId="0" borderId="1" xfId="0" quotePrefix="1" applyNumberFormat="1" applyFont="1" applyBorder="1" applyAlignment="1">
      <alignment readingOrder="1"/>
    </xf>
    <xf numFmtId="0" fontId="2" fillId="0" borderId="1" xfId="0" applyFont="1" applyBorder="1" applyAlignment="1">
      <alignment wrapText="1" readingOrder="1"/>
    </xf>
    <xf numFmtId="0" fontId="2" fillId="0" borderId="1" xfId="0" quotePrefix="1" applyFont="1" applyBorder="1" applyAlignment="1">
      <alignment wrapText="1" readingOrder="1"/>
    </xf>
    <xf numFmtId="0" fontId="1" fillId="0" borderId="0" xfId="0" applyFont="1" applyBorder="1" applyAlignment="1">
      <alignment readingOrder="1"/>
    </xf>
    <xf numFmtId="0" fontId="2" fillId="0" borderId="0" xfId="0" applyFont="1" applyBorder="1" applyAlignment="1">
      <alignment wrapText="1" readingOrder="1"/>
    </xf>
    <xf numFmtId="0" fontId="2" fillId="0" borderId="0" xfId="0" applyFont="1" applyBorder="1" applyAlignment="1">
      <alignment readingOrder="1"/>
    </xf>
    <xf numFmtId="0" fontId="2" fillId="0" borderId="0" xfId="0" quotePrefix="1" applyFont="1" applyBorder="1" applyAlignment="1">
      <alignment wrapText="1" readingOrder="1"/>
    </xf>
    <xf numFmtId="0" fontId="3" fillId="0" borderId="0" xfId="0" applyFont="1" applyBorder="1" applyAlignment="1">
      <alignment readingOrder="1"/>
    </xf>
    <xf numFmtId="0" fontId="1" fillId="0" borderId="0" xfId="0" quotePrefix="1" applyFont="1" applyBorder="1" applyAlignment="1">
      <alignment wrapText="1" readingOrder="1"/>
    </xf>
    <xf numFmtId="0" fontId="1" fillId="0" borderId="0" xfId="0" quotePrefix="1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2" xfId="0" quotePrefix="1" applyFont="1" applyBorder="1" applyAlignment="1">
      <alignment readingOrder="1"/>
    </xf>
    <xf numFmtId="0" fontId="1" fillId="0" borderId="2" xfId="0" quotePrefix="1" applyFont="1" applyBorder="1" applyAlignment="1">
      <alignment readingOrder="1"/>
    </xf>
    <xf numFmtId="0" fontId="2" fillId="0" borderId="0" xfId="0" quotePrefix="1" applyFont="1" applyBorder="1" applyAlignment="1">
      <alignment readingOrder="1"/>
    </xf>
    <xf numFmtId="0" fontId="0" fillId="0" borderId="0" xfId="0" applyBorder="1"/>
    <xf numFmtId="0" fontId="1" fillId="0" borderId="3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9" fontId="2" fillId="0" borderId="2" xfId="0" applyNumberFormat="1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1" fillId="0" borderId="10" xfId="0" quotePrefix="1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6" fillId="0" borderId="3" xfId="0" applyFont="1" applyBorder="1" applyAlignment="1">
      <alignment readingOrder="1"/>
    </xf>
    <xf numFmtId="0" fontId="6" fillId="0" borderId="1" xfId="0" quotePrefix="1" applyFont="1" applyBorder="1" applyAlignment="1">
      <alignment readingOrder="1"/>
    </xf>
    <xf numFmtId="0" fontId="6" fillId="0" borderId="4" xfId="0" applyFont="1" applyBorder="1" applyAlignment="1">
      <alignment readingOrder="1"/>
    </xf>
    <xf numFmtId="0" fontId="7" fillId="0" borderId="0" xfId="0" applyFont="1" applyAlignment="1">
      <alignment wrapText="1"/>
    </xf>
    <xf numFmtId="0" fontId="2" fillId="0" borderId="2" xfId="0" applyFont="1" applyBorder="1" applyAlignment="1">
      <alignment wrapText="1" readingOrder="1"/>
    </xf>
    <xf numFmtId="0" fontId="1" fillId="0" borderId="2" xfId="0" quotePrefix="1" applyFont="1" applyBorder="1" applyAlignment="1">
      <alignment wrapText="1" readingOrder="1"/>
    </xf>
    <xf numFmtId="0" fontId="8" fillId="0" borderId="9" xfId="0" applyFont="1" applyBorder="1" applyAlignment="1">
      <alignment readingOrder="1"/>
    </xf>
    <xf numFmtId="0" fontId="4" fillId="0" borderId="6" xfId="0" applyFont="1" applyBorder="1" applyAlignment="1">
      <alignment wrapText="1" readingOrder="1"/>
    </xf>
    <xf numFmtId="0" fontId="5" fillId="0" borderId="5" xfId="0" applyFont="1" applyBorder="1" applyAlignment="1">
      <alignment readingOrder="1"/>
    </xf>
    <xf numFmtId="0" fontId="5" fillId="0" borderId="6" xfId="0" applyFont="1" applyBorder="1" applyAlignment="1">
      <alignment wrapText="1" readingOrder="1"/>
    </xf>
    <xf numFmtId="0" fontId="5" fillId="0" borderId="6" xfId="0" applyFont="1" applyBorder="1" applyAlignment="1">
      <alignment readingOrder="1"/>
    </xf>
    <xf numFmtId="0" fontId="5" fillId="0" borderId="7" xfId="0" applyFont="1" applyBorder="1" applyAlignment="1">
      <alignment readingOrder="1"/>
    </xf>
    <xf numFmtId="0" fontId="2" fillId="0" borderId="4" xfId="0" quotePrefix="1" applyFont="1" applyBorder="1" applyAlignment="1">
      <alignment wrapText="1" readingOrder="1"/>
    </xf>
    <xf numFmtId="0" fontId="2" fillId="0" borderId="2" xfId="0" quotePrefix="1" applyFont="1" applyBorder="1" applyAlignment="1">
      <alignment wrapText="1" readingOrder="1"/>
    </xf>
    <xf numFmtId="0" fontId="2" fillId="0" borderId="9" xfId="0" quotePrefix="1" applyFont="1" applyBorder="1" applyAlignment="1">
      <alignment wrapText="1" readingOrder="1"/>
    </xf>
    <xf numFmtId="0" fontId="4" fillId="0" borderId="7" xfId="0" applyFont="1" applyBorder="1" applyAlignment="1">
      <alignment wrapText="1" readingOrder="1"/>
    </xf>
    <xf numFmtId="164" fontId="3" fillId="0" borderId="1" xfId="0" quotePrefix="1" applyNumberFormat="1" applyFont="1" applyBorder="1" applyAlignment="1">
      <alignment readingOrder="1"/>
    </xf>
    <xf numFmtId="164" fontId="3" fillId="0" borderId="1" xfId="0" quotePrefix="1" applyNumberFormat="1" applyFont="1" applyBorder="1" applyAlignment="1">
      <alignment wrapText="1" readingOrder="1"/>
    </xf>
    <xf numFmtId="164" fontId="2" fillId="0" borderId="1" xfId="0" applyNumberFormat="1" applyFont="1" applyBorder="1" applyAlignment="1">
      <alignment readingOrder="1"/>
    </xf>
    <xf numFmtId="164" fontId="2" fillId="0" borderId="1" xfId="0" quotePrefix="1" applyNumberFormat="1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164" fontId="2" fillId="0" borderId="2" xfId="0" applyNumberFormat="1" applyFont="1" applyBorder="1" applyAlignment="1">
      <alignment readingOrder="1"/>
    </xf>
    <xf numFmtId="10" fontId="2" fillId="0" borderId="2" xfId="0" applyNumberFormat="1" applyFont="1" applyBorder="1" applyAlignment="1">
      <alignment readingOrder="1"/>
    </xf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14" formatCode="0.00%"/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1F1F1F"/>
        </left>
        <right style="thin">
          <color rgb="FF1F1F1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numFmt numFmtId="13" formatCode="0%"/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60E1F1-C4BA-44BE-836A-2EDAF8F8C6CE}" name="Tableau4" displayName="Tableau4" ref="A1:D11" totalsRowShown="0" headerRowDxfId="62" headerRowBorderDxfId="60" tableBorderDxfId="61" totalsRowBorderDxfId="59">
  <autoFilter ref="A1:D11" xr:uid="{7560E1F1-C4BA-44BE-836A-2EDAF8F8C6CE}"/>
  <tableColumns count="4">
    <tableColumn id="1" xr3:uid="{09921BA4-FB38-4989-A978-CE85807341F4}" name="Compte" dataDxfId="58"/>
    <tableColumn id="2" xr3:uid="{5D27569F-0C02-4A52-BE97-F04E29C72711}" name="Montant_MEUR" dataDxfId="57"/>
    <tableColumn id="3" xr3:uid="{56569AA1-0160-4E02-BC92-A7EDC439E8E4}" name="Type_Info" dataDxfId="56"/>
    <tableColumn id="4" xr3:uid="{EDDA7906-2D74-4DC6-B59F-200C6F1DC7A0}" name="Commentaire" dataDxfId="5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55128A-759F-4E5D-8FF0-B7F07D647C40}" name="Tableau5" displayName="Tableau5" ref="A1:E6" totalsRowShown="0" headerRowDxfId="54" headerRowBorderDxfId="52" tableBorderDxfId="53" totalsRowBorderDxfId="51">
  <autoFilter ref="A1:E6" xr:uid="{F255128A-759F-4E5D-8FF0-B7F07D647C40}"/>
  <tableColumns count="5">
    <tableColumn id="1" xr3:uid="{C1AFD94A-030F-4559-B1F2-1A83AC5174D9}" name="Ligne_Bilan" dataDxfId="50"/>
    <tableColumn id="2" xr3:uid="{2BBEDDB6-F51C-4AA9-8BB9-838402AF6AD6}" name="Exposition_MEUR" dataDxfId="49">
      <calculatedColumnFormula>'1_Bilan_source'!B2</calculatedColumnFormula>
    </tableColumn>
    <tableColumn id="3" xr3:uid="{9EEBE478-5738-479A-87A9-07408F85F6A4}" name="Classe_Actif_CRR" dataDxfId="48"/>
    <tableColumn id="4" xr3:uid="{29C27C9E-413A-4FDA-9051-26A28D248343}" name="RW_Standard" dataDxfId="47"/>
    <tableColumn id="5" xr3:uid="{87906CCC-61D2-47EC-8240-238E0670D46A}" name="Commentaire" dataDxfId="4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C2550E-38B2-42F6-A402-25F287DA37EC}" name="Tableau6" displayName="Tableau6" ref="A1:E11" totalsRowShown="0" headerRowDxfId="45" dataDxfId="44" headerRowBorderDxfId="42" tableBorderDxfId="43" totalsRowBorderDxfId="41">
  <autoFilter ref="A1:E11" xr:uid="{CDC2550E-38B2-42F6-A402-25F287DA37EC}"/>
  <tableColumns count="5">
    <tableColumn id="1" xr3:uid="{CF3BB43D-C481-4262-95AF-54F151ED15E4}" name="Classe_Exposition" dataDxfId="40"/>
    <tableColumn id="2" xr3:uid="{97399100-2441-47D3-B5D7-88BB1DCD246A}" name="EAD_MEUR" dataDxfId="39"/>
    <tableColumn id="3" xr3:uid="{E40E632D-40AE-412E-8C25-A28CAEC680B2}" name="Ponderation_Risque" dataDxfId="38"/>
    <tableColumn id="4" xr3:uid="{D3780D59-B89B-44F7-A15D-D2D054EAC5F5}" name="RWA_MEUR" dataDxfId="37"/>
    <tableColumn id="5" xr3:uid="{D33D3681-F196-43E1-AE9B-CCB0D9F94FEE}" name="Commentaire" dataDxfId="3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7FDA3C-6103-4247-81C0-1459C58403F9}" name="Tableau7" displayName="Tableau7" ref="A1:C6" totalsRowShown="0" headerRowDxfId="35" headerRowBorderDxfId="33" tableBorderDxfId="34" totalsRowBorderDxfId="32">
  <autoFilter ref="A1:C6" xr:uid="{9B7FDA3C-6103-4247-81C0-1459C58403F9}"/>
  <tableColumns count="3">
    <tableColumn id="1" xr3:uid="{6FA4E334-612F-4873-B858-6CE53281F26A}" name="Element" dataDxfId="31"/>
    <tableColumn id="2" xr3:uid="{BCB91324-129D-4192-B10C-CEE0F810BE9A}" name="Montant_MEUR" dataDxfId="30"/>
    <tableColumn id="3" xr3:uid="{FFDE03A0-CF2F-4D79-819F-CA260462EA21}" name="Commentaire" dataDxfId="29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143412-B394-4980-9D6D-A5E38D1D62A0}" name="Tableau8" displayName="Tableau8" ref="A7:D10" totalsRowShown="0" headerRowDxfId="28" headerRowBorderDxfId="26" tableBorderDxfId="27">
  <autoFilter ref="A7:D10" xr:uid="{16143412-B394-4980-9D6D-A5E38D1D62A0}"/>
  <tableColumns count="4">
    <tableColumn id="1" xr3:uid="{6A61B6F2-E833-48FC-B468-4FF212770DB5}" name="RESULTATS STRESS"/>
    <tableColumn id="2" xr3:uid="{8D0A475F-FB7E-42BC-A11A-6D5BB94EFEDF}" name="FORMULE"/>
    <tableColumn id="3" xr3:uid="{8898784A-E953-4F19-9ABA-57654EE3724D}" name="MONTANT"/>
    <tableColumn id="4" xr3:uid="{FE1D1444-DFED-4E38-A021-FDDD8388B0CA}" name="VERDICT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AD0D73-E9A2-4878-8F56-C628F6F0EE8B}" name="Tableau9" displayName="Tableau9" ref="A1:D5" totalsRowShown="0" headerRowDxfId="25" headerRowBorderDxfId="23" tableBorderDxfId="24" totalsRowBorderDxfId="22">
  <autoFilter ref="A1:D5" xr:uid="{52AD0D73-E9A2-4878-8F56-C628F6F0EE8B}"/>
  <tableColumns count="4">
    <tableColumn id="1" xr3:uid="{6CC50024-D2FD-46CD-AECB-00825A2675A3}" name="Categorie" dataDxfId="21"/>
    <tableColumn id="2" xr3:uid="{A9710A11-F426-46EA-B1B4-E55B6274D9CB}" name="Choc" dataDxfId="20"/>
    <tableColumn id="3" xr3:uid="{AE69AF20-DF75-4386-B3EC-F2DFA4662CB7}" name="Impact_MEUR" dataDxfId="19"/>
    <tableColumn id="4" xr3:uid="{CD84C33F-5968-4FE4-8826-FE2FE5F9976E}" name="Commentaire" dataDxfId="1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B8930F2-38D6-417F-8A3C-BBA478DE5A60}" name="Tableau12" displayName="Tableau12" ref="A1:D9" totalsRowShown="0" headerRowDxfId="17" headerRowBorderDxfId="15" tableBorderDxfId="16" totalsRowBorderDxfId="14">
  <autoFilter ref="A1:D9" xr:uid="{0B8930F2-38D6-417F-8A3C-BBA478DE5A60}"/>
  <tableColumns count="4">
    <tableColumn id="1" xr3:uid="{11AF7DD7-43E0-4CC0-8854-4616A0C787C8}" name="Facteur" dataDxfId="13"/>
    <tableColumn id="2" xr3:uid="{7974844C-738E-41BA-817C-6A001B249269}" name="Impact"/>
    <tableColumn id="3" xr3:uid="{2FC79FCE-83A7-47D8-94C8-EE148162A793}" name="Pourcentage " dataDxfId="12">
      <calculatedColumnFormula>B2</calculatedColumnFormula>
    </tableColumn>
    <tableColumn id="4" xr3:uid="{86C16E54-7E54-4578-A084-94066F719567}" name="Commentaire / Calcul" dataDxfId="11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524B687-1AAB-4913-98ED-BFA03406C4A0}" name="Tableau11" displayName="Tableau11" ref="A1:E6" totalsRowShown="0" headerRowDxfId="8" headerRowBorderDxfId="6" tableBorderDxfId="7" totalsRowBorderDxfId="5">
  <autoFilter ref="A1:E6" xr:uid="{2524B687-1AAB-4913-98ED-BFA03406C4A0}"/>
  <tableColumns count="5">
    <tableColumn id="1" xr3:uid="{1B2DB62A-1D03-43BB-A279-481692DEC613}" name="Controle_Effectue" dataDxfId="4"/>
    <tableColumn id="2" xr3:uid="{CA30EB11-250A-4290-8B3C-03F358BE6328}" name="Valeur_Calculée" dataDxfId="3"/>
    <tableColumn id="3" xr3:uid="{9E54A348-58E9-45F0-BE62-9997D4B587F9}" name="Seuil_Attendu" dataDxfId="2"/>
    <tableColumn id="4" xr3:uid="{9C94DEDD-4573-44BE-A833-B51435DC992C}" name="Ecart_Constaté" dataDxfId="1"/>
    <tableColumn id="5" xr3:uid="{8CE44AE6-B870-4B2B-81B6-2E8CAC850E26}" name="Statu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showRowColHeaders="0" workbookViewId="0">
      <selection activeCell="J19" sqref="J19"/>
    </sheetView>
  </sheetViews>
  <sheetFormatPr defaultRowHeight="15"/>
  <cols>
    <col min="1" max="1" width="28" bestFit="1" customWidth="1"/>
    <col min="2" max="3" width="19" bestFit="1" customWidth="1"/>
    <col min="4" max="4" width="18.28515625" bestFit="1" customWidth="1"/>
  </cols>
  <sheetData>
    <row r="1" spans="1:4" ht="18.75" customHeight="1">
      <c r="A1" s="28" t="s">
        <v>0</v>
      </c>
      <c r="B1" s="29" t="s">
        <v>1</v>
      </c>
      <c r="C1" s="29" t="s">
        <v>2</v>
      </c>
      <c r="D1" s="30" t="s">
        <v>3</v>
      </c>
    </row>
    <row r="2" spans="1:4">
      <c r="A2" s="23" t="s">
        <v>4</v>
      </c>
      <c r="B2" s="2">
        <v>550</v>
      </c>
      <c r="C2" s="2" t="s">
        <v>5</v>
      </c>
      <c r="D2" s="25" t="s">
        <v>6</v>
      </c>
    </row>
    <row r="3" spans="1:4">
      <c r="A3" s="23" t="s">
        <v>7</v>
      </c>
      <c r="B3" s="2">
        <v>50</v>
      </c>
      <c r="C3" s="2" t="s">
        <v>5</v>
      </c>
      <c r="D3" s="25" t="s">
        <v>8</v>
      </c>
    </row>
    <row r="4" spans="1:4">
      <c r="A4" s="23" t="s">
        <v>9</v>
      </c>
      <c r="B4" s="2">
        <v>300</v>
      </c>
      <c r="C4" s="2" t="s">
        <v>5</v>
      </c>
      <c r="D4" s="25" t="s">
        <v>10</v>
      </c>
    </row>
    <row r="5" spans="1:4">
      <c r="A5" s="23" t="s">
        <v>11</v>
      </c>
      <c r="B5" s="2">
        <v>50</v>
      </c>
      <c r="C5" s="2" t="s">
        <v>5</v>
      </c>
      <c r="D5" s="25" t="s">
        <v>12</v>
      </c>
    </row>
    <row r="6" spans="1:4">
      <c r="A6" s="23" t="s">
        <v>13</v>
      </c>
      <c r="B6" s="2">
        <v>50</v>
      </c>
      <c r="C6" s="2" t="s">
        <v>5</v>
      </c>
      <c r="D6" s="25" t="s">
        <v>14</v>
      </c>
    </row>
    <row r="7" spans="1:4">
      <c r="A7" s="22" t="s">
        <v>15</v>
      </c>
      <c r="B7" s="3">
        <f>SUM(B2:B6)</f>
        <v>1000</v>
      </c>
      <c r="C7" s="1"/>
      <c r="D7" s="24"/>
    </row>
    <row r="8" spans="1:4">
      <c r="A8" s="23" t="s">
        <v>16</v>
      </c>
      <c r="B8" s="2">
        <v>85</v>
      </c>
      <c r="C8" s="2" t="s">
        <v>17</v>
      </c>
      <c r="D8" s="25" t="s">
        <v>18</v>
      </c>
    </row>
    <row r="9" spans="1:4">
      <c r="A9" s="23" t="s">
        <v>19</v>
      </c>
      <c r="B9" s="2">
        <v>5</v>
      </c>
      <c r="C9" s="2" t="s">
        <v>20</v>
      </c>
      <c r="D9" s="25" t="s">
        <v>21</v>
      </c>
    </row>
    <row r="10" spans="1:4">
      <c r="A10" s="23" t="s">
        <v>22</v>
      </c>
      <c r="B10" s="2">
        <v>40</v>
      </c>
      <c r="C10" s="2" t="s">
        <v>23</v>
      </c>
      <c r="D10" s="25" t="s">
        <v>24</v>
      </c>
    </row>
    <row r="11" spans="1:4">
      <c r="A11" s="26" t="s">
        <v>25</v>
      </c>
      <c r="B11" s="17">
        <v>15</v>
      </c>
      <c r="C11" s="17" t="s">
        <v>26</v>
      </c>
      <c r="D11" s="27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26C4-07A4-4AC8-AC08-E0484A419780}">
  <dimension ref="A1:E6"/>
  <sheetViews>
    <sheetView showGridLines="0" showRowColHeaders="0" workbookViewId="0">
      <selection activeCell="E16" sqref="E16"/>
    </sheetView>
  </sheetViews>
  <sheetFormatPr defaultRowHeight="15"/>
  <cols>
    <col min="1" max="1" width="27.42578125" bestFit="1" customWidth="1"/>
    <col min="2" max="2" width="29.140625" customWidth="1"/>
    <col min="3" max="3" width="20" bestFit="1" customWidth="1"/>
    <col min="4" max="4" width="16.7109375" bestFit="1" customWidth="1"/>
    <col min="5" max="5" width="20.140625" bestFit="1" customWidth="1"/>
  </cols>
  <sheetData>
    <row r="1" spans="1:5">
      <c r="A1" s="28" t="s">
        <v>28</v>
      </c>
      <c r="B1" s="29" t="s">
        <v>29</v>
      </c>
      <c r="C1" s="29" t="s">
        <v>30</v>
      </c>
      <c r="D1" s="29" t="s">
        <v>31</v>
      </c>
      <c r="E1" s="30" t="s">
        <v>3</v>
      </c>
    </row>
    <row r="2" spans="1:5">
      <c r="A2" s="23" t="s">
        <v>4</v>
      </c>
      <c r="B2" s="4">
        <f>'1_Bilan_source'!B2</f>
        <v>550</v>
      </c>
      <c r="C2" s="2" t="s">
        <v>32</v>
      </c>
      <c r="D2" s="5">
        <v>1</v>
      </c>
      <c r="E2" s="25" t="s">
        <v>33</v>
      </c>
    </row>
    <row r="3" spans="1:5">
      <c r="A3" s="23" t="s">
        <v>7</v>
      </c>
      <c r="B3" s="4">
        <f>'1_Bilan_source'!B3</f>
        <v>50</v>
      </c>
      <c r="C3" s="2" t="s">
        <v>34</v>
      </c>
      <c r="D3" s="5">
        <v>0.75</v>
      </c>
      <c r="E3" s="25" t="s">
        <v>35</v>
      </c>
    </row>
    <row r="4" spans="1:5">
      <c r="A4" s="23" t="s">
        <v>9</v>
      </c>
      <c r="B4" s="4">
        <f>'1_Bilan_source'!B4</f>
        <v>300</v>
      </c>
      <c r="C4" s="2" t="s">
        <v>36</v>
      </c>
      <c r="D4" s="5">
        <v>0.35</v>
      </c>
      <c r="E4" s="25" t="s">
        <v>37</v>
      </c>
    </row>
    <row r="5" spans="1:5">
      <c r="A5" s="23" t="s">
        <v>11</v>
      </c>
      <c r="B5" s="4">
        <f>'1_Bilan_source'!B5</f>
        <v>50</v>
      </c>
      <c r="C5" s="2" t="s">
        <v>38</v>
      </c>
      <c r="D5" s="5">
        <v>0</v>
      </c>
      <c r="E5" s="25" t="s">
        <v>39</v>
      </c>
    </row>
    <row r="6" spans="1:5">
      <c r="A6" s="26" t="s">
        <v>13</v>
      </c>
      <c r="B6" s="18">
        <f>'1_Bilan_source'!B6</f>
        <v>50</v>
      </c>
      <c r="C6" s="17" t="s">
        <v>40</v>
      </c>
      <c r="D6" s="31">
        <v>0</v>
      </c>
      <c r="E6" s="27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61EF-1971-44B1-88EC-6CBD04F768C7}">
  <dimension ref="A1:E13"/>
  <sheetViews>
    <sheetView showGridLines="0" showRowColHeaders="0" workbookViewId="0">
      <selection activeCell="D9" sqref="D9"/>
    </sheetView>
  </sheetViews>
  <sheetFormatPr defaultRowHeight="15"/>
  <cols>
    <col min="1" max="1" width="25.5703125" bestFit="1" customWidth="1"/>
    <col min="2" max="2" width="14.42578125" bestFit="1" customWidth="1"/>
    <col min="3" max="3" width="23.28515625" bestFit="1" customWidth="1"/>
    <col min="4" max="4" width="15.28515625" bestFit="1" customWidth="1"/>
    <col min="5" max="5" width="29.28515625" bestFit="1" customWidth="1"/>
  </cols>
  <sheetData>
    <row r="1" spans="1:5">
      <c r="A1" s="28" t="s">
        <v>42</v>
      </c>
      <c r="B1" s="29" t="s">
        <v>43</v>
      </c>
      <c r="C1" s="29" t="s">
        <v>44</v>
      </c>
      <c r="D1" s="29" t="s">
        <v>45</v>
      </c>
      <c r="E1" s="30" t="s">
        <v>3</v>
      </c>
    </row>
    <row r="2" spans="1:5">
      <c r="A2" s="23" t="s">
        <v>46</v>
      </c>
      <c r="B2" s="4">
        <f>'2_Mapping'!B2</f>
        <v>550</v>
      </c>
      <c r="C2" s="7">
        <f>'2_Mapping'!D2</f>
        <v>1</v>
      </c>
      <c r="D2" s="4">
        <f>B2*C2</f>
        <v>550</v>
      </c>
      <c r="E2" s="25" t="s">
        <v>47</v>
      </c>
    </row>
    <row r="3" spans="1:5">
      <c r="A3" s="23" t="s">
        <v>48</v>
      </c>
      <c r="B3" s="4">
        <f>'2_Mapping'!B3</f>
        <v>50</v>
      </c>
      <c r="C3" s="7">
        <f>'2_Mapping'!D3</f>
        <v>0.75</v>
      </c>
      <c r="D3" s="4">
        <f t="shared" ref="D3:D5" si="0">B3*C3</f>
        <v>37.5</v>
      </c>
      <c r="E3" s="25" t="s">
        <v>49</v>
      </c>
    </row>
    <row r="4" spans="1:5">
      <c r="A4" s="23" t="s">
        <v>50</v>
      </c>
      <c r="B4" s="4">
        <f>'2_Mapping'!B4</f>
        <v>300</v>
      </c>
      <c r="C4" s="7">
        <f>'2_Mapping'!D4</f>
        <v>0.35</v>
      </c>
      <c r="D4" s="4">
        <f t="shared" si="0"/>
        <v>105</v>
      </c>
      <c r="E4" s="25" t="s">
        <v>51</v>
      </c>
    </row>
    <row r="5" spans="1:5">
      <c r="A5" s="23" t="s">
        <v>52</v>
      </c>
      <c r="B5" s="4">
        <f>'2_Mapping'!B5</f>
        <v>50</v>
      </c>
      <c r="C5" s="5">
        <v>0</v>
      </c>
      <c r="D5" s="4">
        <f t="shared" si="0"/>
        <v>0</v>
      </c>
      <c r="E5" s="25" t="s">
        <v>53</v>
      </c>
    </row>
    <row r="6" spans="1:5">
      <c r="A6" s="22" t="s">
        <v>54</v>
      </c>
      <c r="B6" s="2"/>
      <c r="C6" s="2"/>
      <c r="D6" s="3">
        <f>SUM(D2:D5)</f>
        <v>692.5</v>
      </c>
      <c r="E6" s="25" t="s">
        <v>55</v>
      </c>
    </row>
    <row r="7" spans="1:5">
      <c r="A7" s="23"/>
      <c r="B7" s="2"/>
      <c r="C7" s="2"/>
      <c r="D7" s="2"/>
      <c r="E7" s="25"/>
    </row>
    <row r="8" spans="1:5">
      <c r="A8" s="22" t="s">
        <v>56</v>
      </c>
      <c r="B8" s="1" t="s">
        <v>57</v>
      </c>
      <c r="C8" s="1" t="s">
        <v>58</v>
      </c>
      <c r="D8" s="1" t="s">
        <v>59</v>
      </c>
      <c r="E8" s="25" t="s">
        <v>60</v>
      </c>
    </row>
    <row r="9" spans="1:5">
      <c r="A9" s="23" t="s">
        <v>61</v>
      </c>
      <c r="B9" s="4">
        <f>'1_Bilan_source'!B10</f>
        <v>40</v>
      </c>
      <c r="C9" s="6">
        <v>1.875</v>
      </c>
      <c r="D9" s="4">
        <f>B9*C9</f>
        <v>75</v>
      </c>
      <c r="E9" s="25" t="s">
        <v>62</v>
      </c>
    </row>
    <row r="10" spans="1:5">
      <c r="A10" s="23"/>
      <c r="B10" s="2"/>
      <c r="C10" s="2"/>
      <c r="D10" s="2"/>
      <c r="E10" s="25"/>
    </row>
    <row r="11" spans="1:5">
      <c r="A11" s="34" t="s">
        <v>63</v>
      </c>
      <c r="B11" s="32"/>
      <c r="C11" s="32"/>
      <c r="D11" s="33">
        <f>D6+D9</f>
        <v>767.5</v>
      </c>
      <c r="E11" s="25" t="s">
        <v>64</v>
      </c>
    </row>
    <row r="12" spans="1:5">
      <c r="A12" s="10"/>
      <c r="B12" s="12"/>
      <c r="C12" s="12"/>
      <c r="D12" s="16"/>
    </row>
    <row r="13" spans="1:5">
      <c r="A13" s="21"/>
      <c r="B13" s="21"/>
      <c r="C13" s="21"/>
      <c r="D13" s="2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3CD1-344C-493B-A8AA-7E9B94F38AD1}">
  <dimension ref="A1:C10"/>
  <sheetViews>
    <sheetView showGridLines="0" showRowColHeaders="0" workbookViewId="0">
      <selection activeCell="B7" sqref="B7"/>
    </sheetView>
  </sheetViews>
  <sheetFormatPr defaultRowHeight="15"/>
  <cols>
    <col min="1" max="1" width="29.42578125" bestFit="1" customWidth="1"/>
    <col min="2" max="2" width="19" bestFit="1" customWidth="1"/>
    <col min="3" max="3" width="29.28515625" bestFit="1" customWidth="1"/>
  </cols>
  <sheetData>
    <row r="1" spans="1:3">
      <c r="A1" s="28" t="s">
        <v>65</v>
      </c>
      <c r="B1" s="29" t="s">
        <v>1</v>
      </c>
      <c r="C1" s="30" t="s">
        <v>3</v>
      </c>
    </row>
    <row r="2" spans="1:3">
      <c r="A2" s="36" t="s">
        <v>66</v>
      </c>
      <c r="B2" s="37">
        <f>'1_Bilan_source'!B8</f>
        <v>85</v>
      </c>
      <c r="C2" s="38" t="s">
        <v>67</v>
      </c>
    </row>
    <row r="3" spans="1:3">
      <c r="A3" s="23" t="s">
        <v>68</v>
      </c>
      <c r="B3" s="4">
        <f>-'1_Bilan_source'!B9</f>
        <v>-5</v>
      </c>
      <c r="C3" s="25" t="s">
        <v>69</v>
      </c>
    </row>
    <row r="4" spans="1:3">
      <c r="A4" s="23" t="s">
        <v>70</v>
      </c>
      <c r="B4" s="4">
        <f>SUM(B2:B3)</f>
        <v>80</v>
      </c>
      <c r="C4" s="25" t="s">
        <v>71</v>
      </c>
    </row>
    <row r="5" spans="1:3">
      <c r="A5" s="23" t="s">
        <v>72</v>
      </c>
      <c r="B5" s="4">
        <f>'3_RWA_Calculs'!D11</f>
        <v>767.5</v>
      </c>
      <c r="C5" s="25" t="s">
        <v>73</v>
      </c>
    </row>
    <row r="6" spans="1:3">
      <c r="A6" s="26" t="s">
        <v>74</v>
      </c>
      <c r="B6" s="18">
        <f>B4/B5</f>
        <v>0.10423452768729642</v>
      </c>
      <c r="C6" s="27" t="s">
        <v>75</v>
      </c>
    </row>
    <row r="7" spans="1:3">
      <c r="A7" s="12"/>
      <c r="B7" s="20"/>
      <c r="C7" s="12"/>
    </row>
    <row r="8" spans="1:3">
      <c r="A8" s="10"/>
      <c r="B8" s="16"/>
      <c r="C8" s="10"/>
    </row>
    <row r="9" spans="1:3">
      <c r="A9" s="12"/>
      <c r="B9" s="12"/>
      <c r="C9" s="12"/>
    </row>
    <row r="10" spans="1:3">
      <c r="A10" s="10"/>
      <c r="B10" s="16"/>
      <c r="C10" s="1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CE61-10E9-4DEE-B9C3-891CD9160A3F}">
  <dimension ref="A1:D17"/>
  <sheetViews>
    <sheetView showGridLines="0" showRowColHeaders="0" workbookViewId="0">
      <selection activeCell="C9" sqref="C9"/>
    </sheetView>
  </sheetViews>
  <sheetFormatPr defaultRowHeight="15"/>
  <cols>
    <col min="1" max="1" width="22.7109375" bestFit="1" customWidth="1"/>
    <col min="2" max="2" width="36.5703125" bestFit="1" customWidth="1"/>
    <col min="3" max="3" width="17.140625" bestFit="1" customWidth="1"/>
    <col min="4" max="4" width="32.85546875" bestFit="1" customWidth="1"/>
  </cols>
  <sheetData>
    <row r="1" spans="1:4" ht="16.5">
      <c r="A1" s="44" t="s">
        <v>76</v>
      </c>
      <c r="B1" s="45" t="s">
        <v>77</v>
      </c>
      <c r="C1" s="46" t="s">
        <v>78</v>
      </c>
      <c r="D1" s="47" t="s">
        <v>3</v>
      </c>
    </row>
    <row r="2" spans="1:4" ht="16.5">
      <c r="A2" s="23" t="s">
        <v>79</v>
      </c>
      <c r="B2" s="8" t="s">
        <v>80</v>
      </c>
      <c r="C2" s="2">
        <v>-25</v>
      </c>
      <c r="D2" s="25" t="s">
        <v>81</v>
      </c>
    </row>
    <row r="3" spans="1:4" ht="16.5">
      <c r="A3" s="23" t="s">
        <v>79</v>
      </c>
      <c r="B3" s="8" t="s">
        <v>82</v>
      </c>
      <c r="C3" s="2">
        <v>-10</v>
      </c>
      <c r="D3" s="25" t="s">
        <v>83</v>
      </c>
    </row>
    <row r="4" spans="1:4" ht="16.5">
      <c r="A4" s="23" t="s">
        <v>84</v>
      </c>
      <c r="B4" s="8" t="s">
        <v>85</v>
      </c>
      <c r="C4" s="4">
        <f>'3_RWA_Calculs'!D2*25%</f>
        <v>137.5</v>
      </c>
      <c r="D4" s="25" t="s">
        <v>86</v>
      </c>
    </row>
    <row r="5" spans="1:4" ht="16.5">
      <c r="A5" s="26" t="s">
        <v>84</v>
      </c>
      <c r="B5" s="40" t="s">
        <v>87</v>
      </c>
      <c r="C5" s="17">
        <v>30</v>
      </c>
      <c r="D5" s="27" t="s">
        <v>88</v>
      </c>
    </row>
    <row r="6" spans="1:4">
      <c r="A6" s="12"/>
      <c r="B6" s="11"/>
      <c r="C6" s="12"/>
      <c r="D6" s="12"/>
    </row>
    <row r="7" spans="1:4" ht="16.5">
      <c r="A7" s="44" t="s">
        <v>89</v>
      </c>
      <c r="B7" s="45" t="s">
        <v>90</v>
      </c>
      <c r="C7" s="46" t="s">
        <v>91</v>
      </c>
      <c r="D7" s="47" t="s">
        <v>92</v>
      </c>
    </row>
    <row r="8" spans="1:4" ht="33.75">
      <c r="A8" s="23" t="s">
        <v>93</v>
      </c>
      <c r="B8" s="39" t="s">
        <v>94</v>
      </c>
      <c r="C8" s="4">
        <f>'4_Ratio_CET1'!B4 + SUM(C2:C3)</f>
        <v>45</v>
      </c>
      <c r="D8" s="25" t="s">
        <v>95</v>
      </c>
    </row>
    <row r="9" spans="1:4" ht="33.75">
      <c r="A9" s="23" t="s">
        <v>96</v>
      </c>
      <c r="B9" s="9" t="s">
        <v>97</v>
      </c>
      <c r="C9" s="4">
        <f>'4_Ratio_CET1'!B5 + SUM(C4:C5)</f>
        <v>935</v>
      </c>
      <c r="D9" s="25" t="s">
        <v>98</v>
      </c>
    </row>
    <row r="10" spans="1:4">
      <c r="A10" s="35" t="s">
        <v>99</v>
      </c>
      <c r="B10" s="41"/>
      <c r="C10" s="19">
        <f>C8/C9</f>
        <v>4.8128342245989303E-2</v>
      </c>
      <c r="D10" s="42" t="s">
        <v>100</v>
      </c>
    </row>
    <row r="11" spans="1:4">
      <c r="A11" s="10"/>
      <c r="B11" s="11"/>
      <c r="C11" s="12"/>
    </row>
    <row r="12" spans="1:4">
      <c r="A12" s="12"/>
      <c r="B12" s="13"/>
      <c r="C12" s="12"/>
    </row>
    <row r="13" spans="1:4">
      <c r="A13" s="12"/>
      <c r="B13" s="13"/>
      <c r="C13" s="14"/>
    </row>
    <row r="14" spans="1:4">
      <c r="A14" s="12"/>
      <c r="B14" s="11"/>
      <c r="C14" s="12"/>
    </row>
    <row r="15" spans="1:4">
      <c r="A15" s="10"/>
      <c r="B15" s="15"/>
      <c r="C15" s="12"/>
    </row>
    <row r="16" spans="1:4">
      <c r="A16" s="12"/>
      <c r="B16" s="11"/>
      <c r="C16" s="12"/>
    </row>
    <row r="17" spans="1:3">
      <c r="A17" s="10"/>
      <c r="B17" s="15"/>
      <c r="C17" s="10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CF0D-1F20-40C7-A895-C02B5002AC45}">
  <dimension ref="A1:D9"/>
  <sheetViews>
    <sheetView showGridLines="0" showRowColHeaders="0" tabSelected="1" workbookViewId="0">
      <selection sqref="A1:D1"/>
    </sheetView>
  </sheetViews>
  <sheetFormatPr defaultRowHeight="15"/>
  <cols>
    <col min="1" max="1" width="32" bestFit="1" customWidth="1"/>
    <col min="2" max="2" width="36.5703125" bestFit="1" customWidth="1"/>
    <col min="3" max="3" width="36.5703125" customWidth="1"/>
    <col min="4" max="4" width="32.5703125" bestFit="1" customWidth="1"/>
  </cols>
  <sheetData>
    <row r="1" spans="1:4">
      <c r="A1" s="28" t="s">
        <v>101</v>
      </c>
      <c r="B1" s="29" t="s">
        <v>102</v>
      </c>
      <c r="C1" s="29" t="s">
        <v>103</v>
      </c>
      <c r="D1" s="30" t="s">
        <v>104</v>
      </c>
    </row>
    <row r="2" spans="1:4">
      <c r="A2" s="23" t="s">
        <v>105</v>
      </c>
      <c r="B2" s="54">
        <f>'4_Ratio_CET1'!B6</f>
        <v>0.10423452768729642</v>
      </c>
      <c r="C2" s="6">
        <f>B2</f>
        <v>0.10423452768729642</v>
      </c>
      <c r="D2" s="25" t="s">
        <v>106</v>
      </c>
    </row>
    <row r="3" spans="1:4">
      <c r="A3" s="23" t="s">
        <v>107</v>
      </c>
      <c r="B3" s="55">
        <f>('5_Stress_Test'!C2+'5_Stress_Test'!C3)/'4_Ratio_CET1'!B5</f>
        <v>-4.5602605863192182E-2</v>
      </c>
      <c r="C3" s="6">
        <f t="shared" ref="C3:C9" si="0">B3</f>
        <v>-4.5602605863192182E-2</v>
      </c>
      <c r="D3" s="57" t="s">
        <v>108</v>
      </c>
    </row>
    <row r="4" spans="1:4">
      <c r="A4" s="56" t="s">
        <v>109</v>
      </c>
      <c r="B4" s="52">
        <f>B3*('5_Stress_Test'!C2/SUM('5_Stress_Test'!C2:C3))</f>
        <v>-3.2573289902280131E-2</v>
      </c>
      <c r="C4" s="6">
        <f t="shared" si="0"/>
        <v>-3.2573289902280131E-2</v>
      </c>
      <c r="D4" s="25"/>
    </row>
    <row r="5" spans="1:4">
      <c r="A5" s="56" t="s">
        <v>110</v>
      </c>
      <c r="B5" s="53">
        <f>B3*('5_Stress_Test'!C3/SUM('5_Stress_Test'!C2:C3))</f>
        <v>-1.3029315960912051E-2</v>
      </c>
      <c r="C5" s="6">
        <f t="shared" si="0"/>
        <v>-1.3029315960912051E-2</v>
      </c>
      <c r="D5" s="25"/>
    </row>
    <row r="6" spans="1:4">
      <c r="A6" s="23" t="s">
        <v>111</v>
      </c>
      <c r="B6" s="55">
        <f>('5_Stress_Test'!C8/'5_Stress_Test'!C9)-('5_Stress_Test'!C8/'4_Ratio_CET1'!B5)</f>
        <v>-1.050357957811493E-2</v>
      </c>
      <c r="C6" s="6">
        <f t="shared" si="0"/>
        <v>-1.050357957811493E-2</v>
      </c>
      <c r="D6" s="57" t="s">
        <v>112</v>
      </c>
    </row>
    <row r="7" spans="1:4">
      <c r="A7" s="56" t="s">
        <v>113</v>
      </c>
      <c r="B7" s="52">
        <f>B6*('5_Stress_Test'!C4/SUM('5_Stress_Test'!C4:C5))</f>
        <v>-8.6223414447212116E-3</v>
      </c>
      <c r="C7" s="6">
        <f t="shared" si="0"/>
        <v>-8.6223414447212116E-3</v>
      </c>
      <c r="D7" s="25"/>
    </row>
    <row r="8" spans="1:4">
      <c r="A8" s="56" t="s">
        <v>114</v>
      </c>
      <c r="B8" s="52">
        <f>B6*('5_Stress_Test'!C5/SUM('5_Stress_Test'!C4:C5))</f>
        <v>-1.8812381333937187E-3</v>
      </c>
      <c r="C8" s="6">
        <f t="shared" si="0"/>
        <v>-1.8812381333937187E-3</v>
      </c>
      <c r="D8" s="25"/>
    </row>
    <row r="9" spans="1:4">
      <c r="A9" s="26" t="s">
        <v>115</v>
      </c>
      <c r="B9" s="58">
        <f>'5_Stress_Test'!C10</f>
        <v>4.8128342245989303E-2</v>
      </c>
      <c r="C9" s="59">
        <f t="shared" si="0"/>
        <v>4.8128342245989303E-2</v>
      </c>
      <c r="D9" s="27" t="s">
        <v>116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5DDC-B781-43BB-BB6E-DE89DA90D392}">
  <dimension ref="A1:E7"/>
  <sheetViews>
    <sheetView showGridLines="0" showRowColHeaders="0" workbookViewId="0">
      <selection activeCell="C14" sqref="C14"/>
    </sheetView>
  </sheetViews>
  <sheetFormatPr defaultRowHeight="15"/>
  <cols>
    <col min="1" max="1" width="23.140625" bestFit="1" customWidth="1"/>
    <col min="2" max="2" width="18.7109375" bestFit="1" customWidth="1"/>
    <col min="3" max="3" width="17.140625" bestFit="1" customWidth="1"/>
    <col min="4" max="4" width="18" bestFit="1" customWidth="1"/>
    <col min="5" max="5" width="9.28515625" bestFit="1" customWidth="1"/>
  </cols>
  <sheetData>
    <row r="1" spans="1:5" ht="16.5">
      <c r="A1" s="28" t="s">
        <v>117</v>
      </c>
      <c r="B1" s="43" t="s">
        <v>118</v>
      </c>
      <c r="C1" s="29" t="s">
        <v>119</v>
      </c>
      <c r="D1" s="29" t="s">
        <v>120</v>
      </c>
      <c r="E1" s="51" t="s">
        <v>121</v>
      </c>
    </row>
    <row r="2" spans="1:5" ht="16.5">
      <c r="A2" s="23" t="s">
        <v>122</v>
      </c>
      <c r="B2" s="9">
        <f>'1_Bilan_source'!B7</f>
        <v>1000</v>
      </c>
      <c r="C2" s="2">
        <v>1000</v>
      </c>
      <c r="D2" s="4">
        <f>B2-C2</f>
        <v>0</v>
      </c>
      <c r="E2" s="48" t="str">
        <f>IF(ABS(D2)&lt;0.01,"valide","ERREUR")</f>
        <v>valide</v>
      </c>
    </row>
    <row r="3" spans="1:5" ht="16.5">
      <c r="A3" s="23" t="s">
        <v>123</v>
      </c>
      <c r="B3" s="9">
        <f>'4_Ratio_CET1'!B3</f>
        <v>-5</v>
      </c>
      <c r="C3" s="2" t="s">
        <v>124</v>
      </c>
      <c r="D3" s="2">
        <f>B3-0</f>
        <v>-5</v>
      </c>
      <c r="E3" s="48" t="str">
        <f>IF(B3&lt;0,"valide"," ERREUR")</f>
        <v>valide</v>
      </c>
    </row>
    <row r="4" spans="1:5" ht="16.5">
      <c r="A4" s="23" t="s">
        <v>125</v>
      </c>
      <c r="B4" s="9">
        <f>'4_Ratio_CET1'!B5/'1_Bilan_source'!B7</f>
        <v>0.76749999999999996</v>
      </c>
      <c r="C4" s="5" t="s">
        <v>126</v>
      </c>
      <c r="D4" s="5">
        <f>B4-85%</f>
        <v>-8.2500000000000018E-2</v>
      </c>
      <c r="E4" s="48" t="str">
        <f>IF(B4&lt;C4,"valide","ERREUR")</f>
        <v>valide</v>
      </c>
    </row>
    <row r="5" spans="1:5" ht="16.5">
      <c r="A5" s="23" t="s">
        <v>127</v>
      </c>
      <c r="B5" s="9">
        <f>'5_Stress_Test'!C10</f>
        <v>4.8128342245989303E-2</v>
      </c>
      <c r="C5" s="2">
        <f>'4_Ratio_CET1'!B6</f>
        <v>0.10423452768729642</v>
      </c>
      <c r="D5" s="4">
        <f>B5-C5</f>
        <v>-5.6106185441307119E-2</v>
      </c>
      <c r="E5" s="48" t="str">
        <f>IF(D5&lt;0,"valide","ERREUR")</f>
        <v>valide</v>
      </c>
    </row>
    <row r="6" spans="1:5" ht="16.5">
      <c r="A6" s="26" t="s">
        <v>128</v>
      </c>
      <c r="B6" s="49">
        <f>'4_Ratio_CET1'!B4</f>
        <v>80</v>
      </c>
      <c r="C6" s="17">
        <v>80</v>
      </c>
      <c r="D6" s="18">
        <f>B6-C6</f>
        <v>0</v>
      </c>
      <c r="E6" s="50" t="str">
        <f>IF(D6=0,"valide","ERREUR")</f>
        <v>valide</v>
      </c>
    </row>
    <row r="7" spans="1:5">
      <c r="A7" s="21"/>
      <c r="B7" s="21"/>
      <c r="C7" s="21"/>
      <c r="D7" s="21"/>
    </row>
  </sheetData>
  <conditionalFormatting sqref="A1:XFD1048576">
    <cfRule type="containsText" dxfId="10" priority="2" operator="containsText" text="Valide">
      <formula>NOT(ISERROR(SEARCH("Valide",A1)))</formula>
    </cfRule>
  </conditionalFormatting>
  <conditionalFormatting sqref="A1:XFD1048576">
    <cfRule type="containsText" dxfId="9" priority="1" operator="containsText" text="ERREUR">
      <formula>NOT(ISERROR(SEARCH("ERREUR",A1)))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2026-01-05T11:17:26Z</dcterms:created>
  <dcterms:modified xsi:type="dcterms:W3CDTF">2026-01-05T20:30:01Z</dcterms:modified>
  <cp:category/>
  <cp:contentStatus/>
</cp:coreProperties>
</file>